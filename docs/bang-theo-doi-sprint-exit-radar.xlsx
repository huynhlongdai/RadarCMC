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ảng theo dõi" sheetId="1" state="visible" r:id="rId3"/>
    <sheet name="Theo sprint" sheetId="2" state="visible" r:id="rId4"/>
    <sheet name="Cổng kiểm soát" sheetId="3" state="visible" r:id="rId5"/>
    <sheet name="Rủi ro &amp; dự phòng" sheetId="4" state="visible" r:id="rId6"/>
    <sheet name="Hướng dẫn" sheetId="5" state="visible" r:id="rId7"/>
  </sheets>
  <definedNames>
    <definedName function="false" hidden="true" localSheetId="0" name="_xlnm._FilterDatabase" vbProcedure="false">'Bảng theo dõi'!$A$1:$J$50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<sst xmlns="http://schemas.openxmlformats.org/spreadsheetml/2006/main" count="528" uniqueCount="288">
  <si>
    <t xml:space="preserve">ID</t>
  </si>
  <si>
    <t xml:space="preserve">Sprint</t>
  </si>
  <si>
    <t xml:space="preserve">Ngày</t>
  </si>
  <si>
    <t xml:space="preserve">Module</t>
  </si>
  <si>
    <t xml:space="preserve">Tính năng</t>
  </si>
  <si>
    <t xml:space="preserve">Phụ thuộc</t>
  </si>
  <si>
    <t xml:space="preserve">Giờ</t>
  </si>
  <si>
    <t xml:space="preserve">Trạng thái</t>
  </si>
  <si>
    <t xml:space="preserve">Điều kiện hoàn thành (DoD)</t>
  </si>
  <si>
    <t xml:space="preserve">Ghi chú</t>
  </si>
  <si>
    <t xml:space="preserve">T01</t>
  </si>
  <si>
    <t xml:space="preserve">S1 · 18-20/09</t>
  </si>
  <si>
    <t xml:space="preserve">18-20/09</t>
  </si>
  <si>
    <t xml:space="preserve">Người</t>
  </si>
  <si>
    <t xml:space="preserve">Đăng ký DoraHacks + nộp email tài khoản CMC</t>
  </si>
  <si>
    <t xml:space="preserve">—</t>
  </si>
  <si>
    <t xml:space="preserve">Chưa làm</t>
  </si>
  <si>
    <t xml:space="preserve">Email tài khoản CMC đã nộp</t>
  </si>
  <si>
    <t xml:space="preserve">Chặn toàn bộ phần cần key</t>
  </si>
  <si>
    <t xml:space="preserve">T02</t>
  </si>
  <si>
    <t xml:space="preserve">M1</t>
  </si>
  <si>
    <t xml:space="preserve">Khung dự án + nạp cấu hình từ .env</t>
  </si>
  <si>
    <t xml:space="preserve">python cli.py --help chạy được</t>
  </si>
  <si>
    <t xml:space="preserve">T03</t>
  </si>
  <si>
    <t xml:space="preserve">Logging có cấu trúc</t>
  </si>
  <si>
    <t xml:space="preserve">Log đọc được, có mức và timestamp</t>
  </si>
  <si>
    <t xml:space="preserve">T04</t>
  </si>
  <si>
    <t xml:space="preserve">Phân loại lỗi: Auth / RateLimit / PartialData</t>
  </si>
  <si>
    <t xml:space="preserve">Mỗi loại lỗi có lớp riêng</t>
  </si>
  <si>
    <t xml:space="preserve">T05</t>
  </si>
  <si>
    <t xml:space="preserve">M2</t>
  </si>
  <si>
    <t xml:space="preserve">Tầng HTTP hai chế độ keyless / có key</t>
  </si>
  <si>
    <t xml:space="preserve">Gọi được cả hai chế độ</t>
  </si>
  <si>
    <t xml:space="preserve">T06</t>
  </si>
  <si>
    <t xml:space="preserve">Khai báo endpoint + động từ GET/POST một chỗ</t>
  </si>
  <si>
    <t xml:space="preserve">T10</t>
  </si>
  <si>
    <t xml:space="preserve">endpoints.py là nguồn duy nhất</t>
  </si>
  <si>
    <t xml:space="preserve">T07</t>
  </si>
  <si>
    <t xml:space="preserve">Cache TTL 60 giây</t>
  </si>
  <si>
    <t xml:space="preserve">Lần gọi thứ hai trong 60s là cache hit</t>
  </si>
  <si>
    <t xml:space="preserve">T08</t>
  </si>
  <si>
    <t xml:space="preserve">Backoff khi gặp 429 + retry</t>
  </si>
  <si>
    <t xml:space="preserve">Test mock 429 thành công sau retry</t>
  </si>
  <si>
    <t xml:space="preserve">T09</t>
  </si>
  <si>
    <t xml:space="preserve">Nhật ký lời gọi: endpoint, tham số, status, ms, cache</t>
  </si>
  <si>
    <t xml:space="preserve">Mọi lời gọi đều có dòng log</t>
  </si>
  <si>
    <t xml:space="preserve">M3</t>
  </si>
  <si>
    <t xml:space="preserve">Đọc tài liệu 14 endpoint: TÊN TRƯỜNG và động từ</t>
  </si>
  <si>
    <t xml:space="preserve">Có bảng tên trường cho từng endpoint</t>
  </si>
  <si>
    <t xml:space="preserve">Mốc rủi ro cao nhất của sprint</t>
  </si>
  <si>
    <t xml:space="preserve">T11</t>
  </si>
  <si>
    <t xml:space="preserve">M11</t>
  </si>
  <si>
    <t xml:space="preserve">Khảo sát 5-10 token / 2 chain, chụp response thật</t>
  </si>
  <si>
    <t xml:space="preserve">T05, T10</t>
  </si>
  <si>
    <t xml:space="preserve">docs/evidence có response kèm timestamp</t>
  </si>
  <si>
    <t xml:space="preserve">T12</t>
  </si>
  <si>
    <t xml:space="preserve">Báo cáo khảo sát dữ liệu</t>
  </si>
  <si>
    <t xml:space="preserve">Trả lời đủ 4 câu hỏi của cổng 1</t>
  </si>
  <si>
    <t xml:space="preserve">T13</t>
  </si>
  <si>
    <t xml:space="preserve">S2 · 21-23/09</t>
  </si>
  <si>
    <t xml:space="preserve">21-23/09</t>
  </si>
  <si>
    <t xml:space="preserve">dataclass models nội bộ</t>
  </si>
  <si>
    <t xml:space="preserve">Có model cho 6 loại dữ liệu</t>
  </si>
  <si>
    <t xml:space="preserve">T14</t>
  </si>
  <si>
    <t xml:space="preserve">Chuẩn hoá JSON sang model, phân biệt thiếu trường với 0</t>
  </si>
  <si>
    <t xml:space="preserve">Không crash khi thiếu trường</t>
  </si>
  <si>
    <t xml:space="preserve">T15</t>
  </si>
  <si>
    <t xml:space="preserve">M4</t>
  </si>
  <si>
    <t xml:space="preserve">Resolver: search + chọn khi mơ hồ</t>
  </si>
  <si>
    <t xml:space="preserve">T05, T14</t>
  </si>
  <si>
    <t xml:space="preserve">Nhiều kết quả thì in danh sách, không tự chọn</t>
  </si>
  <si>
    <t xml:space="preserve">T16</t>
  </si>
  <si>
    <t xml:space="preserve">Collector gom song song + lỗi từng phần + độ phủ</t>
  </si>
  <si>
    <t xml:space="preserve">Tính được % độ phủ dữ liệu</t>
  </si>
  <si>
    <t xml:space="preserve">T17</t>
  </si>
  <si>
    <t xml:space="preserve">M5</t>
  </si>
  <si>
    <t xml:space="preserve">Chiều A — xu hướng thanh khoản</t>
  </si>
  <si>
    <t xml:space="preserve">Test pass trên fixture</t>
  </si>
  <si>
    <t xml:space="preserve">T18</t>
  </si>
  <si>
    <t xml:space="preserve">Chiều B — cô đặc holder</t>
  </si>
  <si>
    <t xml:space="preserve">T19</t>
  </si>
  <si>
    <t xml:space="preserve">Chiều C — rủi ro hợp đồng</t>
  </si>
  <si>
    <t xml:space="preserve">T20</t>
  </si>
  <si>
    <t xml:space="preserve">M7</t>
  </si>
  <si>
    <t xml:space="preserve">Gộp điểm + trọng số + độ phủ</t>
  </si>
  <si>
    <t xml:space="preserve">T17, T18, T19</t>
  </si>
  <si>
    <t xml:space="preserve">5 chiều cộng đúng 100 điểm</t>
  </si>
  <si>
    <t xml:space="preserve">T21</t>
  </si>
  <si>
    <t xml:space="preserve">Xếp mức kết luận + chọn và xếp 3 lý do</t>
  </si>
  <si>
    <t xml:space="preserve">3 lý do đều kèm số</t>
  </si>
  <si>
    <t xml:space="preserve">T22</t>
  </si>
  <si>
    <t xml:space="preserve">M9</t>
  </si>
  <si>
    <t xml:space="preserve">Bản in terminal</t>
  </si>
  <si>
    <t xml:space="preserve">Có khối endpoint đã gọi</t>
  </si>
  <si>
    <t xml:space="preserve">T23</t>
  </si>
  <si>
    <t xml:space="preserve">M10</t>
  </si>
  <si>
    <t xml:space="preserve">CLI: tham số, mã thoát, trợ giúp</t>
  </si>
  <si>
    <t xml:space="preserve">Mọi cờ chạy được</t>
  </si>
  <si>
    <t xml:space="preserve">T24</t>
  </si>
  <si>
    <t xml:space="preserve">M12</t>
  </si>
  <si>
    <t xml:space="preserve">Test cho chiều A/B/C</t>
  </si>
  <si>
    <t xml:space="preserve">pytest xanh, không cần mạng</t>
  </si>
  <si>
    <t xml:space="preserve">T25</t>
  </si>
  <si>
    <t xml:space="preserve">S3 · 24-26/09</t>
  </si>
  <si>
    <t xml:space="preserve">24-26/09</t>
  </si>
  <si>
    <t xml:space="preserve">M6</t>
  </si>
  <si>
    <t xml:space="preserve">Đọc tài liệu holders/trend + tag_count, xác định nhãn</t>
  </si>
  <si>
    <t xml:space="preserve">Key Startup</t>
  </si>
  <si>
    <t xml:space="preserve">Biết chắc CMC có những nhãn nào</t>
  </si>
  <si>
    <t xml:space="preserve">Quyết định chiều E có khả thi</t>
  </si>
  <si>
    <t xml:space="preserve">T26</t>
  </si>
  <si>
    <t xml:space="preserve">Phân tích phân bố holder theo nhãn</t>
  </si>
  <si>
    <t xml:space="preserve">Ra được phân bố theo nhãn</t>
  </si>
  <si>
    <t xml:space="preserve">T27</t>
  </si>
  <si>
    <t xml:space="preserve">Chiều E — dòng ròng và hướng đi (−15 đến +15)</t>
  </si>
  <si>
    <t xml:space="preserve">Chiều E âm trên ít nhất 1 token</t>
  </si>
  <si>
    <t xml:space="preserve">T28</t>
  </si>
  <si>
    <t xml:space="preserve">Chiều D — lớp đòn bẩy phái sinh</t>
  </si>
  <si>
    <t xml:space="preserve">Thiếu dữ liệu thì ghi không áp dụng</t>
  </si>
  <si>
    <t xml:space="preserve">T29</t>
  </si>
  <si>
    <t xml:space="preserve">M8</t>
  </si>
  <si>
    <t xml:space="preserve">Lưu watchlist, có phiên bản hoá file</t>
  </si>
  <si>
    <t xml:space="preserve">Ghi và đọc lại đúng</t>
  </si>
  <si>
    <t xml:space="preserve">T30</t>
  </si>
  <si>
    <t xml:space="preserve">Tính và in delta so với lần quét trước</t>
  </si>
  <si>
    <t xml:space="preserve">Delta đúng trên 2 lần chạy</t>
  </si>
  <si>
    <t xml:space="preserve">T31</t>
  </si>
  <si>
    <t xml:space="preserve">Chế độ --offline + fixtures</t>
  </si>
  <si>
    <t xml:space="preserve">T05, T16</t>
  </si>
  <si>
    <t xml:space="preserve">Ngắt mạng vẫn ra kết luận</t>
  </si>
  <si>
    <t xml:space="preserve">T32</t>
  </si>
  <si>
    <t xml:space="preserve">Dọn docs/evidence</t>
  </si>
  <si>
    <t xml:space="preserve">Có response thật kèm timestamp</t>
  </si>
  <si>
    <t xml:space="preserve">T33</t>
  </si>
  <si>
    <t xml:space="preserve">Test suite hoàn thiện</t>
  </si>
  <si>
    <t xml:space="preserve">T27, T21</t>
  </si>
  <si>
    <t xml:space="preserve">Bao phủ cả 5 chiều</t>
  </si>
  <si>
    <t xml:space="preserve">T34</t>
  </si>
  <si>
    <t xml:space="preserve">Đầu ra JSON</t>
  </si>
  <si>
    <t xml:space="preserve">JSON hợp lệ, parse được</t>
  </si>
  <si>
    <t xml:space="preserve">Ứng viên cắt số 3</t>
  </si>
  <si>
    <t xml:space="preserve">T35</t>
  </si>
  <si>
    <t xml:space="preserve">S4 · 27-28/09</t>
  </si>
  <si>
    <t xml:space="preserve">27-28/09</t>
  </si>
  <si>
    <t xml:space="preserve">M14</t>
  </si>
  <si>
    <t xml:space="preserve">Design tokens + khung trang</t>
  </si>
  <si>
    <t xml:space="preserve">Tokens khớp file thiết kế</t>
  </si>
  <si>
    <t xml:space="preserve">T36</t>
  </si>
  <si>
    <t xml:space="preserve">Màn Quét + ô tìm kiếm + gợi ý</t>
  </si>
  <si>
    <t xml:space="preserve">Gõ ra gợi ý sau 300ms</t>
  </si>
  <si>
    <t xml:space="preserve">T37</t>
  </si>
  <si>
    <t xml:space="preserve">Màn Kết quả + 5 thanh chiều + khối dòng tiền</t>
  </si>
  <si>
    <t xml:space="preserve">T35, T21</t>
  </si>
  <si>
    <t xml:space="preserve">Hiện đúng ví dụ trong bản thiết kế</t>
  </si>
  <si>
    <t xml:space="preserve">T38</t>
  </si>
  <si>
    <t xml:space="preserve">Màn Theo dõi + delta</t>
  </si>
  <si>
    <t xml:space="preserve">Bảng có cột thay đổi</t>
  </si>
  <si>
    <t xml:space="preserve">T39</t>
  </si>
  <si>
    <t xml:space="preserve">Cài đặt + 8 trạng thái lỗi</t>
  </si>
  <si>
    <t xml:space="preserve">Đủ 8 trạng thái lỗi</t>
  </si>
  <si>
    <t xml:space="preserve">T40</t>
  </si>
  <si>
    <t xml:space="preserve">Responsive + dark/light + accessibility</t>
  </si>
  <si>
    <t xml:space="preserve">T36, T37, T38, T39</t>
  </si>
  <si>
    <t xml:space="preserve">Dùng được chỉ bằng bàn phím</t>
  </si>
  <si>
    <t xml:space="preserve">T41</t>
  </si>
  <si>
    <t xml:space="preserve">M13</t>
  </si>
  <si>
    <t xml:space="preserve">README đủ 7 mục bắt buộc</t>
  </si>
  <si>
    <t xml:space="preserve">Tất cả</t>
  </si>
  <si>
    <t xml:space="preserve">Đủ 7 mục theo checklist</t>
  </si>
  <si>
    <t xml:space="preserve">T42</t>
  </si>
  <si>
    <t xml:space="preserve">Kiểm tra không có key trong repo</t>
  </si>
  <si>
    <t xml:space="preserve">git log -p grep cmc sạch</t>
  </si>
  <si>
    <t xml:space="preserve">T43</t>
  </si>
  <si>
    <t xml:space="preserve">Quay video demo 2 phút</t>
  </si>
  <si>
    <t xml:space="preserve">Video đã upload</t>
  </si>
  <si>
    <t xml:space="preserve">Không có phương án thay thế</t>
  </si>
  <si>
    <t xml:space="preserve">T44</t>
  </si>
  <si>
    <t xml:space="preserve">Soạn bài post X kèm #BuildwithCMC</t>
  </si>
  <si>
    <t xml:space="preserve">Có bản nháp</t>
  </si>
  <si>
    <t xml:space="preserve">T45</t>
  </si>
  <si>
    <t xml:space="preserve">S5 · 29/09</t>
  </si>
  <si>
    <t xml:space="preserve">29/09</t>
  </si>
  <si>
    <t xml:space="preserve">Push repo + kiểm tra cuối</t>
  </si>
  <si>
    <t xml:space="preserve">T41, T42</t>
  </si>
  <si>
    <t xml:space="preserve">Repo public</t>
  </si>
  <si>
    <t xml:space="preserve">T46</t>
  </si>
  <si>
    <t xml:space="preserve">Nộp bài trên DoraHacks, chọn track AI Agents</t>
  </si>
  <si>
    <t xml:space="preserve">Có link bài nộp</t>
  </si>
  <si>
    <t xml:space="preserve">T47</t>
  </si>
  <si>
    <t xml:space="preserve">Đăng bài X kèm #BuildwithCMC</t>
  </si>
  <si>
    <t xml:space="preserve">Có link post</t>
  </si>
  <si>
    <t xml:space="preserve">T48</t>
  </si>
  <si>
    <t xml:space="preserve">Xác nhận bài nộp hiển thị công khai</t>
  </si>
  <si>
    <t xml:space="preserve">Link mở được</t>
  </si>
  <si>
    <t xml:space="preserve">T49</t>
  </si>
  <si>
    <t xml:space="preserve">Đệm · 30/09</t>
  </si>
  <si>
    <t xml:space="preserve">30/09</t>
  </si>
  <si>
    <t xml:space="preserve">Sửa lỗi nhỏ, không thêm tính năng</t>
  </si>
  <si>
    <t xml:space="preserve">Không còn lỗi P0</t>
  </si>
  <si>
    <t xml:space="preserve">TỔNG GIỜ</t>
  </si>
  <si>
    <t xml:space="preserve">Còn lại (chưa Xong)</t>
  </si>
  <si>
    <t xml:space="preserve">Tổng giờ</t>
  </si>
  <si>
    <t xml:space="preserve">Giờ đã xong</t>
  </si>
  <si>
    <t xml:space="preserve">Còn lại</t>
  </si>
  <si>
    <t xml:space="preserve">% xong</t>
  </si>
  <si>
    <t xml:space="preserve">Số tính năng</t>
  </si>
  <si>
    <t xml:space="preserve">Đã xong</t>
  </si>
  <si>
    <t xml:space="preserve">Mục tiêu</t>
  </si>
  <si>
    <t xml:space="preserve">Cổng kiểm soát</t>
  </si>
  <si>
    <t xml:space="preserve">Chạm được dữ liệu thật</t>
  </si>
  <si>
    <t xml:space="preserve">Sáng T2 21/09</t>
  </si>
  <si>
    <t xml:space="preserve">Walking skeleton: chạy end-to-end</t>
  </si>
  <si>
    <t xml:space="preserve">Tối T4 23/09</t>
  </si>
  <si>
    <t xml:space="preserve">Dòng tiền cá mập + delta + offline</t>
  </si>
  <si>
    <t xml:space="preserve">Sáng T2 28/09</t>
  </si>
  <si>
    <t xml:space="preserve">Đóng gói: README + video</t>
  </si>
  <si>
    <t xml:space="preserve">Tối T2 28/09</t>
  </si>
  <si>
    <t xml:space="preserve">Nộp bài</t>
  </si>
  <si>
    <t xml:space="preserve">Link bài nộp + post X</t>
  </si>
  <si>
    <t xml:space="preserve">Chỉ sửa lỗi nhỏ</t>
  </si>
  <si>
    <t xml:space="preserve">TỔNG</t>
  </si>
  <si>
    <t xml:space="preserve">Cổng</t>
  </si>
  <si>
    <t xml:space="preserve">Ai duyệt</t>
  </si>
  <si>
    <t xml:space="preserve">Tiêu chí đạt</t>
  </si>
  <si>
    <t xml:space="preserve">Phương án nếu KHÔNG đạt</t>
  </si>
  <si>
    <t xml:space="preserve">Cổng 1 — sau S1</t>
  </si>
  <si>
    <t xml:space="preserve">Biết chắc 4 điều: (1) động từ HTTP từng endpoint, (2) tên trường thật, (3) holders/trend/list và tag_count trả gì, (4) chain nào có liquidity-change tốt</t>
  </si>
  <si>
    <t xml:space="preserve">Chuyển ngay sang phương án B ở sheet Rủi ro. Không bước vào S2 khi còn mơ hồ về tên trường.</t>
  </si>
  <si>
    <t xml:space="preserve">Cổng 2 — sau S2</t>
  </si>
  <si>
    <t xml:space="preserve">Chạy cli.py trên token thật ra kết luận có 3 lý do kèm số; có ít nhất 1 token cho điểm thấp</t>
  </si>
  <si>
    <t xml:space="preserve">Cắt chiều B xuống mức tối giản, dồn thời gian cho đường găng. Không cắt chiều A.</t>
  </si>
  <si>
    <t xml:space="preserve">Cổng 3 — sau S3</t>
  </si>
  <si>
    <t xml:space="preserve">Chiều E cho điểm âm trên ít nhất 1 token; --offline chạy khi ngắt mạng; delta in đúng</t>
  </si>
  <si>
    <t xml:space="preserve">Key chưa về thì rút chiều E xuống holders/list + detail và ghi rõ. Vẫn không đủ thì bỏ chiều E, dồn trọng số, ghi vào roadmap.</t>
  </si>
  <si>
    <t xml:space="preserve">Cổng 4 — sau S4</t>
  </si>
  <si>
    <t xml:space="preserve">Video đã quay và upload; README đủ 7 mục; repo sạch key</t>
  </si>
  <si>
    <t xml:space="preserve">HTML lỗi thì quay video trên bản in terminal + ảnh chụp. Không để HTML chặn việc nộp.</t>
  </si>
  <si>
    <t xml:space="preserve">Cổng cuối</t>
  </si>
  <si>
    <t xml:space="preserve">Có link bài nộp trên DoraHacks và link bài post X kèm #BuildwithCMC</t>
  </si>
  <si>
    <t xml:space="preserve">Nộp trước deadline ít nhất 36 giờ. Ngày 30/09 chỉ sửa lỗi nhỏ.</t>
  </si>
  <si>
    <t xml:space="preserve">Thứ tự</t>
  </si>
  <si>
    <t xml:space="preserve">Tình huống</t>
  </si>
  <si>
    <t xml:space="preserve">Phương án B</t>
  </si>
  <si>
    <t xml:space="preserve">Ảnh hưởng tới bài nộp</t>
  </si>
  <si>
    <t xml:space="preserve">Bắt buộc</t>
  </si>
  <si>
    <t xml:space="preserve">liquidity-change/list không có dữ liệu tốt</t>
  </si>
  <si>
    <t xml:space="preserve">Dùng token/pools làm proxy: số pool giảm và thanh khoản dồn vào 1 pool</t>
  </si>
  <si>
    <t xml:space="preserve">Mất tín hiệu mạnh nhất, vẫn dùng được dữ liệu DEX</t>
  </si>
  <si>
    <t xml:space="preserve">Nhóm Holder không đủ dữ liệu</t>
  </si>
  <si>
    <t xml:space="preserve">Rút chiều E xuống holders/list + holders/detail, ghi rõ là suy luận</t>
  </si>
  <si>
    <t xml:space="preserve">Mất nhãn chính thức, giữ được tính năng</t>
  </si>
  <si>
    <t xml:space="preserve">Key Startup chưa về trước 26/09</t>
  </si>
  <si>
    <t xml:space="preserve">Chạy toàn bộ trên keyless; chiều D và E thành không áp dụng</t>
  </si>
  <si>
    <t xml:space="preserve">Độ phủ giảm còn 3/5, nhưng vẫn trung thực</t>
  </si>
  <si>
    <t xml:space="preserve">Cắt 1</t>
  </si>
  <si>
    <t xml:space="preserve">Tụt tiến độ</t>
  </si>
  <si>
    <t xml:space="preserve">Cắt chiều D — đòn bẩy phái sinh</t>
  </si>
  <si>
    <t xml:space="preserve">Ít ảnh hưởng, chỉ 10 điểm</t>
  </si>
  <si>
    <t xml:space="preserve">Cắt 2</t>
  </si>
  <si>
    <t xml:space="preserve">Cắt báo cáo HTML</t>
  </si>
  <si>
    <t xml:space="preserve">Video quay trên bản in terminal</t>
  </si>
  <si>
    <t xml:space="preserve">Cắt 3</t>
  </si>
  <si>
    <t xml:space="preserve">Cắt đầu ra JSON</t>
  </si>
  <si>
    <t xml:space="preserve">Không ai chấm phần này</t>
  </si>
  <si>
    <t xml:space="preserve">Cắt 4</t>
  </si>
  <si>
    <t xml:space="preserve">Cắt tín hiệu phụ của chiều B</t>
  </si>
  <si>
    <t xml:space="preserve">Giữ tín hiệu chính là đủ</t>
  </si>
  <si>
    <t xml:space="preserve">Cắt 5</t>
  </si>
  <si>
    <t xml:space="preserve">Cắt chiều E</t>
  </si>
  <si>
    <t xml:space="preserve">Đau, nhưng sản phẩm vẫn còn giá trị</t>
  </si>
  <si>
    <t xml:space="preserve">KHÔNG CẮT</t>
  </si>
  <si>
    <t xml:space="preserve">Bốn thứ không bao giờ cắt</t>
  </si>
  <si>
    <t xml:space="preserve">Chiều A · delta watchlist · chế độ --offline · README + video</t>
  </si>
  <si>
    <t xml:space="preserve">Đây là bốn thứ giám khảo chấm trực tiếp</t>
  </si>
  <si>
    <t xml:space="preserve">Hướng dẫn sử dụng bảng theo dõi</t>
  </si>
  <si>
    <t xml:space="preserve">1. Cột Giờ và Điều kiện hoàn thành: xem để biết khối lượng, không cần sửa.</t>
  </si>
  <si>
    <t xml:space="preserve">2. Cột Trạng thái (nền vàng): bấm chọn Chưa làm / Đang làm / Xong / Bỏ / Chặn.</t>
  </si>
  <si>
    <t xml:space="preserve">3. Cột Ghi chú (nền vàng): ghi lý do trễ, quyết định cắt, hoặc việc phát sinh.</t>
  </si>
  <si>
    <t xml:space="preserve">4. Sheet Theo sprint tự động cộng giờ và tính % xong từ cột Trạng thái — không sửa tay.</t>
  </si>
  <si>
    <t xml:space="preserve">5. Sheet Cổng kiểm soát: 5 mốc cần người duyệt. Không vượt cổng khi chưa quyết định.</t>
  </si>
  <si>
    <t xml:space="preserve">6. Sheet Rủi ro &amp; dự phòng: phương án B đã viết sẵn, không phải nghĩ lúc hoảng.</t>
  </si>
  <si>
    <t xml:space="preserve">Giả định và nguồn số liệu:</t>
  </si>
  <si>
    <t xml:space="preserve">· Giờ là giờ công của agent AI, không phải giờ làm việc của người.</t>
  </si>
  <si>
    <t xml:space="preserve">· Ước lượng lập ở mức tính năng (không phải mức module) nên cao hơn con số trong kế hoạch dự án ban đầu.</t>
  </si>
  <si>
    <t xml:space="preserve">· Đã bao gồm 15 giờ của module M14 — Web UI, và 6 giờ đệm ngày 30/09.</t>
  </si>
  <si>
    <t xml:space="preserve">· Deadline nộp: 30/09/2026 23:59 UTC = 06:59 sáng 01/10 giờ Việt Nam.</t>
  </si>
  <si>
    <t xml:space="preserve">· Ngày nộp mục tiêu: 29/09, sớm hơn deadline 36 giờ.</t>
  </si>
  <si>
    <t xml:space="preserve">Tổng công việc: 92 giờ · Đệm: 6 giờ · Tổng: 98 giờ trên 11 ngày làm việc.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</si>
</sst>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181B"/>
        <bgColor rgb="FF000000"/>
      </patternFill>
    </fill>
    <fill>
      <patternFill patternType="solid">
        <fgColor rgb="FFFFF9C4"/>
        <bgColor rgb="FFFFFF99"/>
      </patternFill>
    </fill>
    <fill>
      <patternFill patternType="solid">
        <fgColor rgb="FFEFF2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1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181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FF2F5"/>
      <rgbColor rgb="FF660066"/>
      <rgbColor rgb="FFFF8080"/>
      <rgbColor rgb="FF0066CC"/>
      <rgbColor rgb="FFDC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8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54"/>
    <col collapsed="false" customWidth="true" hidden="false" outlineLevel="0" max="6" min="6" style="0" width="18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5" t="n">
        <v>0.5</v>
      </c>
      <c r="H2" s="6" t="s">
        <v>16</v>
      </c>
      <c r="I2" s="4" t="s">
        <v>17</v>
      </c>
      <c r="J2" s="7" t="s">
        <v>18</v>
      </c>
    </row>
    <row r="3" customFormat="false" ht="15" hidden="false" customHeight="false" outlineLevel="0" collapsed="false">
      <c r="A3" s="2" t="s">
        <v>19</v>
      </c>
      <c r="B3" s="3" t="s">
        <v>11</v>
      </c>
      <c r="C3" s="3" t="s">
        <v>12</v>
      </c>
      <c r="D3" s="3" t="s">
        <v>20</v>
      </c>
      <c r="E3" s="4" t="s">
        <v>21</v>
      </c>
      <c r="F3" s="3" t="s">
        <v>15</v>
      </c>
      <c r="G3" s="5" t="n">
        <v>1</v>
      </c>
      <c r="H3" s="6" t="s">
        <v>16</v>
      </c>
      <c r="I3" s="4" t="s">
        <v>22</v>
      </c>
      <c r="J3" s="7"/>
    </row>
    <row r="4" customFormat="false" ht="15" hidden="false" customHeight="false" outlineLevel="0" collapsed="false">
      <c r="A4" s="2" t="s">
        <v>23</v>
      </c>
      <c r="B4" s="3" t="s">
        <v>11</v>
      </c>
      <c r="C4" s="3" t="s">
        <v>12</v>
      </c>
      <c r="D4" s="3" t="s">
        <v>20</v>
      </c>
      <c r="E4" s="4" t="s">
        <v>24</v>
      </c>
      <c r="F4" s="3" t="s">
        <v>19</v>
      </c>
      <c r="G4" s="5" t="n">
        <v>1</v>
      </c>
      <c r="H4" s="6" t="s">
        <v>16</v>
      </c>
      <c r="I4" s="4" t="s">
        <v>25</v>
      </c>
      <c r="J4" s="7"/>
    </row>
    <row r="5" customFormat="false" ht="15" hidden="false" customHeight="false" outlineLevel="0" collapsed="false">
      <c r="A5" s="2" t="s">
        <v>26</v>
      </c>
      <c r="B5" s="3" t="s">
        <v>11</v>
      </c>
      <c r="C5" s="3" t="s">
        <v>12</v>
      </c>
      <c r="D5" s="3" t="s">
        <v>20</v>
      </c>
      <c r="E5" s="4" t="s">
        <v>27</v>
      </c>
      <c r="F5" s="3" t="s">
        <v>23</v>
      </c>
      <c r="G5" s="5" t="n">
        <v>1</v>
      </c>
      <c r="H5" s="6" t="s">
        <v>16</v>
      </c>
      <c r="I5" s="4" t="s">
        <v>28</v>
      </c>
      <c r="J5" s="7"/>
    </row>
    <row r="6" customFormat="false" ht="15" hidden="false" customHeight="false" outlineLevel="0" collapsed="false">
      <c r="A6" s="2" t="s">
        <v>29</v>
      </c>
      <c r="B6" s="3" t="s">
        <v>11</v>
      </c>
      <c r="C6" s="3" t="s">
        <v>12</v>
      </c>
      <c r="D6" s="3" t="s">
        <v>30</v>
      </c>
      <c r="E6" s="4" t="s">
        <v>31</v>
      </c>
      <c r="F6" s="3" t="s">
        <v>19</v>
      </c>
      <c r="G6" s="5" t="n">
        <v>2</v>
      </c>
      <c r="H6" s="6" t="s">
        <v>16</v>
      </c>
      <c r="I6" s="4" t="s">
        <v>32</v>
      </c>
      <c r="J6" s="7"/>
    </row>
    <row r="7" customFormat="false" ht="15" hidden="false" customHeight="false" outlineLevel="0" collapsed="false">
      <c r="A7" s="2" t="s">
        <v>33</v>
      </c>
      <c r="B7" s="3" t="s">
        <v>11</v>
      </c>
      <c r="C7" s="3" t="s">
        <v>12</v>
      </c>
      <c r="D7" s="3" t="s">
        <v>30</v>
      </c>
      <c r="E7" s="4" t="s">
        <v>34</v>
      </c>
      <c r="F7" s="3" t="s">
        <v>35</v>
      </c>
      <c r="G7" s="5" t="n">
        <v>1</v>
      </c>
      <c r="H7" s="6" t="s">
        <v>16</v>
      </c>
      <c r="I7" s="4" t="s">
        <v>36</v>
      </c>
      <c r="J7" s="7"/>
    </row>
    <row r="8" customFormat="false" ht="15" hidden="false" customHeight="false" outlineLevel="0" collapsed="false">
      <c r="A8" s="2" t="s">
        <v>37</v>
      </c>
      <c r="B8" s="3" t="s">
        <v>11</v>
      </c>
      <c r="C8" s="3" t="s">
        <v>12</v>
      </c>
      <c r="D8" s="3" t="s">
        <v>30</v>
      </c>
      <c r="E8" s="4" t="s">
        <v>38</v>
      </c>
      <c r="F8" s="3" t="s">
        <v>29</v>
      </c>
      <c r="G8" s="5" t="n">
        <v>1</v>
      </c>
      <c r="H8" s="6" t="s">
        <v>16</v>
      </c>
      <c r="I8" s="4" t="s">
        <v>39</v>
      </c>
      <c r="J8" s="7"/>
    </row>
    <row r="9" customFormat="false" ht="15" hidden="false" customHeight="false" outlineLevel="0" collapsed="false">
      <c r="A9" s="2" t="s">
        <v>40</v>
      </c>
      <c r="B9" s="3" t="s">
        <v>11</v>
      </c>
      <c r="C9" s="3" t="s">
        <v>12</v>
      </c>
      <c r="D9" s="3" t="s">
        <v>30</v>
      </c>
      <c r="E9" s="4" t="s">
        <v>41</v>
      </c>
      <c r="F9" s="3" t="s">
        <v>29</v>
      </c>
      <c r="G9" s="5" t="n">
        <v>1</v>
      </c>
      <c r="H9" s="6" t="s">
        <v>16</v>
      </c>
      <c r="I9" s="4" t="s">
        <v>42</v>
      </c>
      <c r="J9" s="7"/>
    </row>
    <row r="10" customFormat="false" ht="15" hidden="false" customHeight="false" outlineLevel="0" collapsed="false">
      <c r="A10" s="2" t="s">
        <v>43</v>
      </c>
      <c r="B10" s="3" t="s">
        <v>11</v>
      </c>
      <c r="C10" s="3" t="s">
        <v>12</v>
      </c>
      <c r="D10" s="3" t="s">
        <v>30</v>
      </c>
      <c r="E10" s="4" t="s">
        <v>44</v>
      </c>
      <c r="F10" s="3" t="s">
        <v>29</v>
      </c>
      <c r="G10" s="5" t="n">
        <v>1</v>
      </c>
      <c r="H10" s="6" t="s">
        <v>16</v>
      </c>
      <c r="I10" s="4" t="s">
        <v>45</v>
      </c>
      <c r="J10" s="7"/>
    </row>
    <row r="11" customFormat="false" ht="15" hidden="false" customHeight="false" outlineLevel="0" collapsed="false">
      <c r="A11" s="2" t="s">
        <v>35</v>
      </c>
      <c r="B11" s="3" t="s">
        <v>11</v>
      </c>
      <c r="C11" s="3" t="s">
        <v>12</v>
      </c>
      <c r="D11" s="3" t="s">
        <v>46</v>
      </c>
      <c r="E11" s="4" t="s">
        <v>47</v>
      </c>
      <c r="F11" s="3" t="s">
        <v>15</v>
      </c>
      <c r="G11" s="5" t="n">
        <v>3</v>
      </c>
      <c r="H11" s="6" t="s">
        <v>16</v>
      </c>
      <c r="I11" s="4" t="s">
        <v>48</v>
      </c>
      <c r="J11" s="7" t="s">
        <v>49</v>
      </c>
    </row>
    <row r="12" customFormat="false" ht="15" hidden="false" customHeight="false" outlineLevel="0" collapsed="false">
      <c r="A12" s="2" t="s">
        <v>50</v>
      </c>
      <c r="B12" s="3" t="s">
        <v>11</v>
      </c>
      <c r="C12" s="3" t="s">
        <v>12</v>
      </c>
      <c r="D12" s="3" t="s">
        <v>51</v>
      </c>
      <c r="E12" s="4" t="s">
        <v>52</v>
      </c>
      <c r="F12" s="3" t="s">
        <v>53</v>
      </c>
      <c r="G12" s="5" t="n">
        <v>4</v>
      </c>
      <c r="H12" s="6" t="s">
        <v>16</v>
      </c>
      <c r="I12" s="4" t="s">
        <v>54</v>
      </c>
      <c r="J12" s="7"/>
    </row>
    <row r="13" customFormat="false" ht="15" hidden="false" customHeight="false" outlineLevel="0" collapsed="false">
      <c r="A13" s="2" t="s">
        <v>55</v>
      </c>
      <c r="B13" s="3" t="s">
        <v>11</v>
      </c>
      <c r="C13" s="3" t="s">
        <v>12</v>
      </c>
      <c r="D13" s="3" t="s">
        <v>51</v>
      </c>
      <c r="E13" s="4" t="s">
        <v>56</v>
      </c>
      <c r="F13" s="3" t="s">
        <v>50</v>
      </c>
      <c r="G13" s="5" t="n">
        <v>2</v>
      </c>
      <c r="H13" s="6" t="s">
        <v>16</v>
      </c>
      <c r="I13" s="4" t="s">
        <v>57</v>
      </c>
      <c r="J13" s="7"/>
    </row>
    <row r="14" customFormat="false" ht="15" hidden="false" customHeight="false" outlineLevel="0" collapsed="false">
      <c r="A14" s="2" t="s">
        <v>58</v>
      </c>
      <c r="B14" s="3" t="s">
        <v>59</v>
      </c>
      <c r="C14" s="3" t="s">
        <v>60</v>
      </c>
      <c r="D14" s="3" t="s">
        <v>46</v>
      </c>
      <c r="E14" s="4" t="s">
        <v>61</v>
      </c>
      <c r="F14" s="3" t="s">
        <v>35</v>
      </c>
      <c r="G14" s="5" t="n">
        <v>2</v>
      </c>
      <c r="H14" s="6" t="s">
        <v>16</v>
      </c>
      <c r="I14" s="4" t="s">
        <v>62</v>
      </c>
      <c r="J14" s="7"/>
    </row>
    <row r="15" customFormat="false" ht="15" hidden="false" customHeight="false" outlineLevel="0" collapsed="false">
      <c r="A15" s="2" t="s">
        <v>63</v>
      </c>
      <c r="B15" s="3" t="s">
        <v>59</v>
      </c>
      <c r="C15" s="3" t="s">
        <v>60</v>
      </c>
      <c r="D15" s="3" t="s">
        <v>46</v>
      </c>
      <c r="E15" s="4" t="s">
        <v>64</v>
      </c>
      <c r="F15" s="3" t="s">
        <v>58</v>
      </c>
      <c r="G15" s="5" t="n">
        <v>3</v>
      </c>
      <c r="H15" s="6" t="s">
        <v>16</v>
      </c>
      <c r="I15" s="4" t="s">
        <v>65</v>
      </c>
      <c r="J15" s="7"/>
    </row>
    <row r="16" customFormat="false" ht="15" hidden="false" customHeight="false" outlineLevel="0" collapsed="false">
      <c r="A16" s="2" t="s">
        <v>66</v>
      </c>
      <c r="B16" s="3" t="s">
        <v>59</v>
      </c>
      <c r="C16" s="3" t="s">
        <v>60</v>
      </c>
      <c r="D16" s="3" t="s">
        <v>67</v>
      </c>
      <c r="E16" s="4" t="s">
        <v>68</v>
      </c>
      <c r="F16" s="3" t="s">
        <v>69</v>
      </c>
      <c r="G16" s="5" t="n">
        <v>2</v>
      </c>
      <c r="H16" s="6" t="s">
        <v>16</v>
      </c>
      <c r="I16" s="4" t="s">
        <v>70</v>
      </c>
      <c r="J16" s="7"/>
    </row>
    <row r="17" customFormat="false" ht="15" hidden="false" customHeight="false" outlineLevel="0" collapsed="false">
      <c r="A17" s="2" t="s">
        <v>71</v>
      </c>
      <c r="B17" s="3" t="s">
        <v>59</v>
      </c>
      <c r="C17" s="3" t="s">
        <v>60</v>
      </c>
      <c r="D17" s="3" t="s">
        <v>67</v>
      </c>
      <c r="E17" s="4" t="s">
        <v>72</v>
      </c>
      <c r="F17" s="3" t="s">
        <v>66</v>
      </c>
      <c r="G17" s="5" t="n">
        <v>3</v>
      </c>
      <c r="H17" s="6" t="s">
        <v>16</v>
      </c>
      <c r="I17" s="4" t="s">
        <v>73</v>
      </c>
      <c r="J17" s="7"/>
    </row>
    <row r="18" customFormat="false" ht="15" hidden="false" customHeight="false" outlineLevel="0" collapsed="false">
      <c r="A18" s="2" t="s">
        <v>74</v>
      </c>
      <c r="B18" s="3" t="s">
        <v>59</v>
      </c>
      <c r="C18" s="3" t="s">
        <v>60</v>
      </c>
      <c r="D18" s="3" t="s">
        <v>75</v>
      </c>
      <c r="E18" s="4" t="s">
        <v>76</v>
      </c>
      <c r="F18" s="3" t="s">
        <v>63</v>
      </c>
      <c r="G18" s="5" t="n">
        <v>3</v>
      </c>
      <c r="H18" s="6" t="s">
        <v>16</v>
      </c>
      <c r="I18" s="4" t="s">
        <v>77</v>
      </c>
      <c r="J18" s="7"/>
    </row>
    <row r="19" customFormat="false" ht="15" hidden="false" customHeight="false" outlineLevel="0" collapsed="false">
      <c r="A19" s="2" t="s">
        <v>78</v>
      </c>
      <c r="B19" s="3" t="s">
        <v>59</v>
      </c>
      <c r="C19" s="3" t="s">
        <v>60</v>
      </c>
      <c r="D19" s="3" t="s">
        <v>75</v>
      </c>
      <c r="E19" s="4" t="s">
        <v>79</v>
      </c>
      <c r="F19" s="3" t="s">
        <v>63</v>
      </c>
      <c r="G19" s="5" t="n">
        <v>2</v>
      </c>
      <c r="H19" s="6" t="s">
        <v>16</v>
      </c>
      <c r="I19" s="4" t="s">
        <v>77</v>
      </c>
      <c r="J19" s="7"/>
    </row>
    <row r="20" customFormat="false" ht="15" hidden="false" customHeight="false" outlineLevel="0" collapsed="false">
      <c r="A20" s="2" t="s">
        <v>80</v>
      </c>
      <c r="B20" s="3" t="s">
        <v>59</v>
      </c>
      <c r="C20" s="3" t="s">
        <v>60</v>
      </c>
      <c r="D20" s="3" t="s">
        <v>75</v>
      </c>
      <c r="E20" s="4" t="s">
        <v>81</v>
      </c>
      <c r="F20" s="3" t="s">
        <v>63</v>
      </c>
      <c r="G20" s="5" t="n">
        <v>2</v>
      </c>
      <c r="H20" s="6" t="s">
        <v>16</v>
      </c>
      <c r="I20" s="4" t="s">
        <v>77</v>
      </c>
      <c r="J20" s="7"/>
    </row>
    <row r="21" customFormat="false" ht="15" hidden="false" customHeight="false" outlineLevel="0" collapsed="false">
      <c r="A21" s="2" t="s">
        <v>82</v>
      </c>
      <c r="B21" s="3" t="s">
        <v>59</v>
      </c>
      <c r="C21" s="3" t="s">
        <v>60</v>
      </c>
      <c r="D21" s="3" t="s">
        <v>83</v>
      </c>
      <c r="E21" s="4" t="s">
        <v>84</v>
      </c>
      <c r="F21" s="3" t="s">
        <v>85</v>
      </c>
      <c r="G21" s="5" t="n">
        <v>2</v>
      </c>
      <c r="H21" s="6" t="s">
        <v>16</v>
      </c>
      <c r="I21" s="4" t="s">
        <v>86</v>
      </c>
      <c r="J21" s="7"/>
    </row>
    <row r="22" customFormat="false" ht="15" hidden="false" customHeight="false" outlineLevel="0" collapsed="false">
      <c r="A22" s="2" t="s">
        <v>87</v>
      </c>
      <c r="B22" s="3" t="s">
        <v>59</v>
      </c>
      <c r="C22" s="3" t="s">
        <v>60</v>
      </c>
      <c r="D22" s="3" t="s">
        <v>83</v>
      </c>
      <c r="E22" s="4" t="s">
        <v>88</v>
      </c>
      <c r="F22" s="3" t="s">
        <v>82</v>
      </c>
      <c r="G22" s="5" t="n">
        <v>2</v>
      </c>
      <c r="H22" s="6" t="s">
        <v>16</v>
      </c>
      <c r="I22" s="4" t="s">
        <v>89</v>
      </c>
      <c r="J22" s="7"/>
    </row>
    <row r="23" customFormat="false" ht="15" hidden="false" customHeight="false" outlineLevel="0" collapsed="false">
      <c r="A23" s="2" t="s">
        <v>90</v>
      </c>
      <c r="B23" s="3" t="s">
        <v>59</v>
      </c>
      <c r="C23" s="3" t="s">
        <v>60</v>
      </c>
      <c r="D23" s="3" t="s">
        <v>91</v>
      </c>
      <c r="E23" s="4" t="s">
        <v>92</v>
      </c>
      <c r="F23" s="3" t="s">
        <v>87</v>
      </c>
      <c r="G23" s="5" t="n">
        <v>3</v>
      </c>
      <c r="H23" s="6" t="s">
        <v>16</v>
      </c>
      <c r="I23" s="4" t="s">
        <v>93</v>
      </c>
      <c r="J23" s="7"/>
    </row>
    <row r="24" customFormat="false" ht="15" hidden="false" customHeight="false" outlineLevel="0" collapsed="false">
      <c r="A24" s="2" t="s">
        <v>94</v>
      </c>
      <c r="B24" s="3" t="s">
        <v>59</v>
      </c>
      <c r="C24" s="3" t="s">
        <v>60</v>
      </c>
      <c r="D24" s="3" t="s">
        <v>95</v>
      </c>
      <c r="E24" s="4" t="s">
        <v>96</v>
      </c>
      <c r="F24" s="3" t="s">
        <v>90</v>
      </c>
      <c r="G24" s="5" t="n">
        <v>3</v>
      </c>
      <c r="H24" s="6" t="s">
        <v>16</v>
      </c>
      <c r="I24" s="4" t="s">
        <v>97</v>
      </c>
      <c r="J24" s="7"/>
    </row>
    <row r="25" customFormat="false" ht="15" hidden="false" customHeight="false" outlineLevel="0" collapsed="false">
      <c r="A25" s="2" t="s">
        <v>98</v>
      </c>
      <c r="B25" s="3" t="s">
        <v>59</v>
      </c>
      <c r="C25" s="3" t="s">
        <v>60</v>
      </c>
      <c r="D25" s="3" t="s">
        <v>99</v>
      </c>
      <c r="E25" s="4" t="s">
        <v>100</v>
      </c>
      <c r="F25" s="3" t="s">
        <v>85</v>
      </c>
      <c r="G25" s="5" t="n">
        <v>3</v>
      </c>
      <c r="H25" s="6" t="s">
        <v>16</v>
      </c>
      <c r="I25" s="4" t="s">
        <v>101</v>
      </c>
      <c r="J25" s="7"/>
    </row>
    <row r="26" customFormat="false" ht="15" hidden="false" customHeight="false" outlineLevel="0" collapsed="false">
      <c r="A26" s="2" t="s">
        <v>102</v>
      </c>
      <c r="B26" s="3" t="s">
        <v>103</v>
      </c>
      <c r="C26" s="3" t="s">
        <v>104</v>
      </c>
      <c r="D26" s="3" t="s">
        <v>105</v>
      </c>
      <c r="E26" s="4" t="s">
        <v>106</v>
      </c>
      <c r="F26" s="3" t="s">
        <v>107</v>
      </c>
      <c r="G26" s="5" t="n">
        <v>2</v>
      </c>
      <c r="H26" s="6" t="s">
        <v>16</v>
      </c>
      <c r="I26" s="4" t="s">
        <v>108</v>
      </c>
      <c r="J26" s="7" t="s">
        <v>109</v>
      </c>
    </row>
    <row r="27" customFormat="false" ht="15" hidden="false" customHeight="false" outlineLevel="0" collapsed="false">
      <c r="A27" s="2" t="s">
        <v>110</v>
      </c>
      <c r="B27" s="3" t="s">
        <v>103</v>
      </c>
      <c r="C27" s="3" t="s">
        <v>104</v>
      </c>
      <c r="D27" s="3" t="s">
        <v>105</v>
      </c>
      <c r="E27" s="4" t="s">
        <v>111</v>
      </c>
      <c r="F27" s="3" t="s">
        <v>102</v>
      </c>
      <c r="G27" s="5" t="n">
        <v>3</v>
      </c>
      <c r="H27" s="6" t="s">
        <v>16</v>
      </c>
      <c r="I27" s="4" t="s">
        <v>112</v>
      </c>
      <c r="J27" s="7"/>
    </row>
    <row r="28" customFormat="false" ht="15" hidden="false" customHeight="false" outlineLevel="0" collapsed="false">
      <c r="A28" s="2" t="s">
        <v>113</v>
      </c>
      <c r="B28" s="3" t="s">
        <v>103</v>
      </c>
      <c r="C28" s="3" t="s">
        <v>104</v>
      </c>
      <c r="D28" s="3" t="s">
        <v>105</v>
      </c>
      <c r="E28" s="4" t="s">
        <v>114</v>
      </c>
      <c r="F28" s="3" t="s">
        <v>110</v>
      </c>
      <c r="G28" s="5" t="n">
        <v>3</v>
      </c>
      <c r="H28" s="6" t="s">
        <v>16</v>
      </c>
      <c r="I28" s="4" t="s">
        <v>115</v>
      </c>
      <c r="J28" s="7"/>
    </row>
    <row r="29" customFormat="false" ht="15" hidden="false" customHeight="false" outlineLevel="0" collapsed="false">
      <c r="A29" s="2" t="s">
        <v>116</v>
      </c>
      <c r="B29" s="3" t="s">
        <v>103</v>
      </c>
      <c r="C29" s="3" t="s">
        <v>104</v>
      </c>
      <c r="D29" s="3" t="s">
        <v>105</v>
      </c>
      <c r="E29" s="4" t="s">
        <v>117</v>
      </c>
      <c r="F29" s="3" t="s">
        <v>107</v>
      </c>
      <c r="G29" s="5" t="n">
        <v>2</v>
      </c>
      <c r="H29" s="6" t="s">
        <v>16</v>
      </c>
      <c r="I29" s="4" t="s">
        <v>118</v>
      </c>
      <c r="J29" s="7"/>
    </row>
    <row r="30" customFormat="false" ht="15" hidden="false" customHeight="false" outlineLevel="0" collapsed="false">
      <c r="A30" s="2" t="s">
        <v>119</v>
      </c>
      <c r="B30" s="3" t="s">
        <v>103</v>
      </c>
      <c r="C30" s="3" t="s">
        <v>104</v>
      </c>
      <c r="D30" s="3" t="s">
        <v>120</v>
      </c>
      <c r="E30" s="4" t="s">
        <v>121</v>
      </c>
      <c r="F30" s="3" t="s">
        <v>87</v>
      </c>
      <c r="G30" s="5" t="n">
        <v>1.5</v>
      </c>
      <c r="H30" s="6" t="s">
        <v>16</v>
      </c>
      <c r="I30" s="4" t="s">
        <v>122</v>
      </c>
      <c r="J30" s="7"/>
    </row>
    <row r="31" customFormat="false" ht="15" hidden="false" customHeight="false" outlineLevel="0" collapsed="false">
      <c r="A31" s="2" t="s">
        <v>123</v>
      </c>
      <c r="B31" s="3" t="s">
        <v>103</v>
      </c>
      <c r="C31" s="3" t="s">
        <v>104</v>
      </c>
      <c r="D31" s="3" t="s">
        <v>120</v>
      </c>
      <c r="E31" s="4" t="s">
        <v>124</v>
      </c>
      <c r="F31" s="3" t="s">
        <v>119</v>
      </c>
      <c r="G31" s="5" t="n">
        <v>1.5</v>
      </c>
      <c r="H31" s="6" t="s">
        <v>16</v>
      </c>
      <c r="I31" s="4" t="s">
        <v>125</v>
      </c>
      <c r="J31" s="7"/>
    </row>
    <row r="32" customFormat="false" ht="15" hidden="false" customHeight="false" outlineLevel="0" collapsed="false">
      <c r="A32" s="2" t="s">
        <v>126</v>
      </c>
      <c r="B32" s="3" t="s">
        <v>103</v>
      </c>
      <c r="C32" s="3" t="s">
        <v>104</v>
      </c>
      <c r="D32" s="3" t="s">
        <v>51</v>
      </c>
      <c r="E32" s="4" t="s">
        <v>127</v>
      </c>
      <c r="F32" s="3" t="s">
        <v>128</v>
      </c>
      <c r="G32" s="5" t="n">
        <v>2</v>
      </c>
      <c r="H32" s="6" t="s">
        <v>16</v>
      </c>
      <c r="I32" s="4" t="s">
        <v>129</v>
      </c>
      <c r="J32" s="7"/>
    </row>
    <row r="33" customFormat="false" ht="15" hidden="false" customHeight="false" outlineLevel="0" collapsed="false">
      <c r="A33" s="2" t="s">
        <v>130</v>
      </c>
      <c r="B33" s="3" t="s">
        <v>103</v>
      </c>
      <c r="C33" s="3" t="s">
        <v>104</v>
      </c>
      <c r="D33" s="3" t="s">
        <v>51</v>
      </c>
      <c r="E33" s="4" t="s">
        <v>131</v>
      </c>
      <c r="F33" s="3" t="s">
        <v>50</v>
      </c>
      <c r="G33" s="5" t="n">
        <v>1</v>
      </c>
      <c r="H33" s="6" t="s">
        <v>16</v>
      </c>
      <c r="I33" s="4" t="s">
        <v>132</v>
      </c>
      <c r="J33" s="7"/>
    </row>
    <row r="34" customFormat="false" ht="15" hidden="false" customHeight="false" outlineLevel="0" collapsed="false">
      <c r="A34" s="2" t="s">
        <v>133</v>
      </c>
      <c r="B34" s="3" t="s">
        <v>103</v>
      </c>
      <c r="C34" s="3" t="s">
        <v>104</v>
      </c>
      <c r="D34" s="3" t="s">
        <v>99</v>
      </c>
      <c r="E34" s="4" t="s">
        <v>134</v>
      </c>
      <c r="F34" s="3" t="s">
        <v>135</v>
      </c>
      <c r="G34" s="5" t="n">
        <v>3</v>
      </c>
      <c r="H34" s="6" t="s">
        <v>16</v>
      </c>
      <c r="I34" s="4" t="s">
        <v>136</v>
      </c>
      <c r="J34" s="7"/>
    </row>
    <row r="35" customFormat="false" ht="15" hidden="false" customHeight="false" outlineLevel="0" collapsed="false">
      <c r="A35" s="2" t="s">
        <v>137</v>
      </c>
      <c r="B35" s="3" t="s">
        <v>103</v>
      </c>
      <c r="C35" s="3" t="s">
        <v>104</v>
      </c>
      <c r="D35" s="3" t="s">
        <v>91</v>
      </c>
      <c r="E35" s="4" t="s">
        <v>138</v>
      </c>
      <c r="F35" s="3" t="s">
        <v>87</v>
      </c>
      <c r="G35" s="5" t="n">
        <v>1</v>
      </c>
      <c r="H35" s="6" t="s">
        <v>16</v>
      </c>
      <c r="I35" s="4" t="s">
        <v>139</v>
      </c>
      <c r="J35" s="7" t="s">
        <v>140</v>
      </c>
    </row>
    <row r="36" customFormat="false" ht="15" hidden="false" customHeight="false" outlineLevel="0" collapsed="false">
      <c r="A36" s="2" t="s">
        <v>141</v>
      </c>
      <c r="B36" s="3" t="s">
        <v>142</v>
      </c>
      <c r="C36" s="3" t="s">
        <v>143</v>
      </c>
      <c r="D36" s="3" t="s">
        <v>144</v>
      </c>
      <c r="E36" s="4" t="s">
        <v>145</v>
      </c>
      <c r="F36" s="3" t="s">
        <v>90</v>
      </c>
      <c r="G36" s="5" t="n">
        <v>2</v>
      </c>
      <c r="H36" s="6" t="s">
        <v>16</v>
      </c>
      <c r="I36" s="4" t="s">
        <v>146</v>
      </c>
      <c r="J36" s="7"/>
    </row>
    <row r="37" customFormat="false" ht="15" hidden="false" customHeight="false" outlineLevel="0" collapsed="false">
      <c r="A37" s="2" t="s">
        <v>147</v>
      </c>
      <c r="B37" s="3" t="s">
        <v>142</v>
      </c>
      <c r="C37" s="3" t="s">
        <v>143</v>
      </c>
      <c r="D37" s="3" t="s">
        <v>144</v>
      </c>
      <c r="E37" s="4" t="s">
        <v>148</v>
      </c>
      <c r="F37" s="3" t="s">
        <v>141</v>
      </c>
      <c r="G37" s="5" t="n">
        <v>3</v>
      </c>
      <c r="H37" s="6" t="s">
        <v>16</v>
      </c>
      <c r="I37" s="4" t="s">
        <v>149</v>
      </c>
      <c r="J37" s="7"/>
    </row>
    <row r="38" customFormat="false" ht="15" hidden="false" customHeight="false" outlineLevel="0" collapsed="false">
      <c r="A38" s="2" t="s">
        <v>150</v>
      </c>
      <c r="B38" s="3" t="s">
        <v>142</v>
      </c>
      <c r="C38" s="3" t="s">
        <v>143</v>
      </c>
      <c r="D38" s="3" t="s">
        <v>144</v>
      </c>
      <c r="E38" s="4" t="s">
        <v>151</v>
      </c>
      <c r="F38" s="3" t="s">
        <v>152</v>
      </c>
      <c r="G38" s="5" t="n">
        <v>4</v>
      </c>
      <c r="H38" s="6" t="s">
        <v>16</v>
      </c>
      <c r="I38" s="4" t="s">
        <v>153</v>
      </c>
      <c r="J38" s="7"/>
    </row>
    <row r="39" customFormat="false" ht="15" hidden="false" customHeight="false" outlineLevel="0" collapsed="false">
      <c r="A39" s="2" t="s">
        <v>154</v>
      </c>
      <c r="B39" s="3" t="s">
        <v>142</v>
      </c>
      <c r="C39" s="3" t="s">
        <v>143</v>
      </c>
      <c r="D39" s="3" t="s">
        <v>144</v>
      </c>
      <c r="E39" s="4" t="s">
        <v>155</v>
      </c>
      <c r="F39" s="3" t="s">
        <v>123</v>
      </c>
      <c r="G39" s="5" t="n">
        <v>2</v>
      </c>
      <c r="H39" s="6" t="s">
        <v>16</v>
      </c>
      <c r="I39" s="4" t="s">
        <v>156</v>
      </c>
      <c r="J39" s="7"/>
    </row>
    <row r="40" customFormat="false" ht="15" hidden="false" customHeight="false" outlineLevel="0" collapsed="false">
      <c r="A40" s="2" t="s">
        <v>157</v>
      </c>
      <c r="B40" s="3" t="s">
        <v>142</v>
      </c>
      <c r="C40" s="3" t="s">
        <v>143</v>
      </c>
      <c r="D40" s="3" t="s">
        <v>144</v>
      </c>
      <c r="E40" s="4" t="s">
        <v>158</v>
      </c>
      <c r="F40" s="3" t="s">
        <v>141</v>
      </c>
      <c r="G40" s="5" t="n">
        <v>2</v>
      </c>
      <c r="H40" s="6" t="s">
        <v>16</v>
      </c>
      <c r="I40" s="4" t="s">
        <v>159</v>
      </c>
      <c r="J40" s="7"/>
    </row>
    <row r="41" customFormat="false" ht="15" hidden="false" customHeight="false" outlineLevel="0" collapsed="false">
      <c r="A41" s="2" t="s">
        <v>160</v>
      </c>
      <c r="B41" s="3" t="s">
        <v>142</v>
      </c>
      <c r="C41" s="3" t="s">
        <v>143</v>
      </c>
      <c r="D41" s="3" t="s">
        <v>144</v>
      </c>
      <c r="E41" s="4" t="s">
        <v>161</v>
      </c>
      <c r="F41" s="3" t="s">
        <v>162</v>
      </c>
      <c r="G41" s="5" t="n">
        <v>2</v>
      </c>
      <c r="H41" s="6" t="s">
        <v>16</v>
      </c>
      <c r="I41" s="4" t="s">
        <v>163</v>
      </c>
      <c r="J41" s="7"/>
    </row>
    <row r="42" customFormat="false" ht="15" hidden="false" customHeight="false" outlineLevel="0" collapsed="false">
      <c r="A42" s="2" t="s">
        <v>164</v>
      </c>
      <c r="B42" s="3" t="s">
        <v>142</v>
      </c>
      <c r="C42" s="3" t="s">
        <v>143</v>
      </c>
      <c r="D42" s="3" t="s">
        <v>165</v>
      </c>
      <c r="E42" s="4" t="s">
        <v>166</v>
      </c>
      <c r="F42" s="3" t="s">
        <v>167</v>
      </c>
      <c r="G42" s="5" t="n">
        <v>3</v>
      </c>
      <c r="H42" s="6" t="s">
        <v>16</v>
      </c>
      <c r="I42" s="4" t="s">
        <v>168</v>
      </c>
      <c r="J42" s="7"/>
    </row>
    <row r="43" customFormat="false" ht="15" hidden="false" customHeight="false" outlineLevel="0" collapsed="false">
      <c r="A43" s="2" t="s">
        <v>169</v>
      </c>
      <c r="B43" s="3" t="s">
        <v>142</v>
      </c>
      <c r="C43" s="3" t="s">
        <v>143</v>
      </c>
      <c r="D43" s="3" t="s">
        <v>165</v>
      </c>
      <c r="E43" s="4" t="s">
        <v>170</v>
      </c>
      <c r="F43" s="3" t="s">
        <v>15</v>
      </c>
      <c r="G43" s="5" t="n">
        <v>0.5</v>
      </c>
      <c r="H43" s="6" t="s">
        <v>16</v>
      </c>
      <c r="I43" s="4" t="s">
        <v>171</v>
      </c>
      <c r="J43" s="7"/>
    </row>
    <row r="44" customFormat="false" ht="15" hidden="false" customHeight="false" outlineLevel="0" collapsed="false">
      <c r="A44" s="2" t="s">
        <v>172</v>
      </c>
      <c r="B44" s="3" t="s">
        <v>142</v>
      </c>
      <c r="C44" s="3" t="s">
        <v>143</v>
      </c>
      <c r="D44" s="3" t="s">
        <v>13</v>
      </c>
      <c r="E44" s="4" t="s">
        <v>173</v>
      </c>
      <c r="F44" s="3" t="s">
        <v>150</v>
      </c>
      <c r="G44" s="5" t="n">
        <v>1.5</v>
      </c>
      <c r="H44" s="6" t="s">
        <v>16</v>
      </c>
      <c r="I44" s="4" t="s">
        <v>174</v>
      </c>
      <c r="J44" s="7" t="s">
        <v>175</v>
      </c>
    </row>
    <row r="45" customFormat="false" ht="15" hidden="false" customHeight="false" outlineLevel="0" collapsed="false">
      <c r="A45" s="2" t="s">
        <v>176</v>
      </c>
      <c r="B45" s="3" t="s">
        <v>142</v>
      </c>
      <c r="C45" s="3" t="s">
        <v>143</v>
      </c>
      <c r="D45" s="3" t="s">
        <v>165</v>
      </c>
      <c r="E45" s="4" t="s">
        <v>177</v>
      </c>
      <c r="F45" s="3" t="s">
        <v>15</v>
      </c>
      <c r="G45" s="5" t="n">
        <v>0.5</v>
      </c>
      <c r="H45" s="6" t="s">
        <v>16</v>
      </c>
      <c r="I45" s="4" t="s">
        <v>178</v>
      </c>
      <c r="J45" s="7"/>
    </row>
    <row r="46" customFormat="false" ht="15" hidden="false" customHeight="false" outlineLevel="0" collapsed="false">
      <c r="A46" s="2" t="s">
        <v>179</v>
      </c>
      <c r="B46" s="3" t="s">
        <v>180</v>
      </c>
      <c r="C46" s="3" t="s">
        <v>181</v>
      </c>
      <c r="D46" s="3" t="s">
        <v>165</v>
      </c>
      <c r="E46" s="4" t="s">
        <v>182</v>
      </c>
      <c r="F46" s="3" t="s">
        <v>183</v>
      </c>
      <c r="G46" s="5" t="n">
        <v>1</v>
      </c>
      <c r="H46" s="6" t="s">
        <v>16</v>
      </c>
      <c r="I46" s="4" t="s">
        <v>184</v>
      </c>
      <c r="J46" s="7"/>
    </row>
    <row r="47" customFormat="false" ht="15" hidden="false" customHeight="false" outlineLevel="0" collapsed="false">
      <c r="A47" s="2" t="s">
        <v>185</v>
      </c>
      <c r="B47" s="3" t="s">
        <v>180</v>
      </c>
      <c r="C47" s="3" t="s">
        <v>181</v>
      </c>
      <c r="D47" s="3" t="s">
        <v>13</v>
      </c>
      <c r="E47" s="4" t="s">
        <v>186</v>
      </c>
      <c r="F47" s="3" t="s">
        <v>179</v>
      </c>
      <c r="G47" s="5" t="n">
        <v>0.5</v>
      </c>
      <c r="H47" s="6" t="s">
        <v>16</v>
      </c>
      <c r="I47" s="4" t="s">
        <v>187</v>
      </c>
      <c r="J47" s="7"/>
    </row>
    <row r="48" customFormat="false" ht="15" hidden="false" customHeight="false" outlineLevel="0" collapsed="false">
      <c r="A48" s="2" t="s">
        <v>188</v>
      </c>
      <c r="B48" s="3" t="s">
        <v>180</v>
      </c>
      <c r="C48" s="3" t="s">
        <v>181</v>
      </c>
      <c r="D48" s="3" t="s">
        <v>13</v>
      </c>
      <c r="E48" s="4" t="s">
        <v>189</v>
      </c>
      <c r="F48" s="3" t="s">
        <v>185</v>
      </c>
      <c r="G48" s="5" t="n">
        <v>0.5</v>
      </c>
      <c r="H48" s="6" t="s">
        <v>16</v>
      </c>
      <c r="I48" s="4" t="s">
        <v>190</v>
      </c>
      <c r="J48" s="7"/>
    </row>
    <row r="49" customFormat="false" ht="15" hidden="false" customHeight="false" outlineLevel="0" collapsed="false">
      <c r="A49" s="2" t="s">
        <v>191</v>
      </c>
      <c r="B49" s="3" t="s">
        <v>180</v>
      </c>
      <c r="C49" s="3" t="s">
        <v>181</v>
      </c>
      <c r="D49" s="3" t="s">
        <v>165</v>
      </c>
      <c r="E49" s="4" t="s">
        <v>192</v>
      </c>
      <c r="F49" s="3" t="s">
        <v>185</v>
      </c>
      <c r="G49" s="5" t="n">
        <v>0.5</v>
      </c>
      <c r="H49" s="6" t="s">
        <v>16</v>
      </c>
      <c r="I49" s="4" t="s">
        <v>193</v>
      </c>
      <c r="J49" s="7"/>
    </row>
    <row r="50" customFormat="false" ht="15" hidden="false" customHeight="false" outlineLevel="0" collapsed="false">
      <c r="A50" s="2" t="s">
        <v>194</v>
      </c>
      <c r="B50" s="3" t="s">
        <v>195</v>
      </c>
      <c r="C50" s="3" t="s">
        <v>196</v>
      </c>
      <c r="D50" s="3" t="s">
        <v>15</v>
      </c>
      <c r="E50" s="4" t="s">
        <v>197</v>
      </c>
      <c r="F50" s="3" t="s">
        <v>15</v>
      </c>
      <c r="G50" s="5" t="n">
        <v>6</v>
      </c>
      <c r="H50" s="6" t="s">
        <v>16</v>
      </c>
      <c r="I50" s="4" t="s">
        <v>198</v>
      </c>
      <c r="J50" s="7"/>
    </row>
    <row r="51" customFormat="false" ht="15" hidden="false" customHeight="false" outlineLevel="0" collapsed="false">
      <c r="A51" s="8"/>
      <c r="B51" s="8"/>
      <c r="C51" s="8"/>
      <c r="D51" s="8"/>
      <c r="E51" s="8"/>
      <c r="F51" s="9" t="s">
        <v>199</v>
      </c>
      <c r="G51" s="10" t="n">
        <f aca="false">SUM(G2:G50)</f>
        <v>97.5</v>
      </c>
      <c r="H51" s="8"/>
      <c r="I51" s="8"/>
      <c r="J51" s="8"/>
    </row>
    <row r="52" customFormat="false" ht="15" hidden="false" customHeight="false" outlineLevel="0" collapsed="false">
      <c r="F52" s="11" t="s">
        <v>200</v>
      </c>
      <c r="G52" s="12" t="n">
        <f aca="false">SUMIFS(G2:G50,H2:H50,"&lt;&gt;Xong")</f>
        <v>97.5</v>
      </c>
    </row>
  </sheetData>
  <autoFilter ref="A1:J50"/>
  <dataValidations count="1">
    <dataValidation allowBlank="true" errorStyle="stop" operator="between" showDropDown="false" showErrorMessage="false" showInputMessage="false" sqref="H2:H50" type="list">
      <formula1>"Chưa làm,Đang làm,Xong,Bỏ,Chặn"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6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3" t="s">
        <v>1</v>
      </c>
      <c r="B1" s="13" t="s">
        <v>2</v>
      </c>
      <c r="C1" s="13" t="s">
        <v>201</v>
      </c>
      <c r="D1" s="13" t="s">
        <v>202</v>
      </c>
      <c r="E1" s="13" t="s">
        <v>203</v>
      </c>
      <c r="F1" s="13" t="s">
        <v>204</v>
      </c>
      <c r="G1" s="13" t="s">
        <v>205</v>
      </c>
      <c r="H1" s="13" t="s">
        <v>206</v>
      </c>
      <c r="I1" s="13" t="s">
        <v>207</v>
      </c>
      <c r="J1" s="13" t="s">
        <v>208</v>
      </c>
    </row>
    <row r="2" customFormat="false" ht="15" hidden="false" customHeight="false" outlineLevel="0" collapsed="false">
      <c r="A2" s="2" t="s">
        <v>11</v>
      </c>
      <c r="B2" s="3" t="s">
        <v>12</v>
      </c>
      <c r="C2" s="14" t="n">
        <f aca="false">SUMIFS('Bảng theo dõi'!$G$2:$G$50,'Bảng theo dõi'!$B$2:$B$50,$A2)</f>
        <v>18.5</v>
      </c>
      <c r="D2" s="14" t="n">
        <f aca="false">SUMIFS('Bảng theo dõi'!$G$2:$G$50,'Bảng theo dõi'!$B$2:$B$50,$A2,'Bảng theo dõi'!$H$2:$H$50,"Xong")</f>
        <v>0</v>
      </c>
      <c r="E2" s="14" t="n">
        <f aca="false">C2-D2</f>
        <v>18.5</v>
      </c>
      <c r="F2" s="15" t="n">
        <f aca="false">IFERROR(D2/C2,0)</f>
        <v>0</v>
      </c>
      <c r="G2" s="3" t="n">
        <f aca="false">COUNTIFS('Bảng theo dõi'!$B$2:$B$50,$A2)</f>
        <v>12</v>
      </c>
      <c r="H2" s="3" t="n">
        <f aca="false">COUNTIFS('Bảng theo dõi'!$B$2:$B$50,$A2,'Bảng theo dõi'!$H$2:$H$50,"Xong")</f>
        <v>0</v>
      </c>
      <c r="I2" s="4" t="s">
        <v>209</v>
      </c>
      <c r="J2" s="4" t="s">
        <v>210</v>
      </c>
    </row>
    <row r="3" customFormat="false" ht="15" hidden="false" customHeight="false" outlineLevel="0" collapsed="false">
      <c r="A3" s="2" t="s">
        <v>59</v>
      </c>
      <c r="B3" s="3" t="s">
        <v>60</v>
      </c>
      <c r="C3" s="14" t="n">
        <f aca="false">SUMIFS('Bảng theo dõi'!$G$2:$G$50,'Bảng theo dõi'!$B$2:$B$50,$A3)</f>
        <v>30</v>
      </c>
      <c r="D3" s="14" t="n">
        <f aca="false">SUMIFS('Bảng theo dõi'!$G$2:$G$50,'Bảng theo dõi'!$B$2:$B$50,$A3,'Bảng theo dõi'!$H$2:$H$50,"Xong")</f>
        <v>0</v>
      </c>
      <c r="E3" s="14" t="n">
        <f aca="false">C3-D3</f>
        <v>30</v>
      </c>
      <c r="F3" s="15" t="n">
        <f aca="false">IFERROR(D3/C3,0)</f>
        <v>0</v>
      </c>
      <c r="G3" s="3" t="n">
        <f aca="false">COUNTIFS('Bảng theo dõi'!$B$2:$B$50,$A3)</f>
        <v>12</v>
      </c>
      <c r="H3" s="3" t="n">
        <f aca="false">COUNTIFS('Bảng theo dõi'!$B$2:$B$50,$A3,'Bảng theo dõi'!$H$2:$H$50,"Xong")</f>
        <v>0</v>
      </c>
      <c r="I3" s="4" t="s">
        <v>211</v>
      </c>
      <c r="J3" s="4" t="s">
        <v>212</v>
      </c>
    </row>
    <row r="4" customFormat="false" ht="15" hidden="false" customHeight="false" outlineLevel="0" collapsed="false">
      <c r="A4" s="2" t="s">
        <v>103</v>
      </c>
      <c r="B4" s="3" t="s">
        <v>104</v>
      </c>
      <c r="C4" s="14" t="n">
        <f aca="false">SUMIFS('Bảng theo dõi'!$G$2:$G$50,'Bảng theo dõi'!$B$2:$B$50,$A4)</f>
        <v>20</v>
      </c>
      <c r="D4" s="14" t="n">
        <f aca="false">SUMIFS('Bảng theo dõi'!$G$2:$G$50,'Bảng theo dõi'!$B$2:$B$50,$A4,'Bảng theo dõi'!$H$2:$H$50,"Xong")</f>
        <v>0</v>
      </c>
      <c r="E4" s="14" t="n">
        <f aca="false">C4-D4</f>
        <v>20</v>
      </c>
      <c r="F4" s="15" t="n">
        <f aca="false">IFERROR(D4/C4,0)</f>
        <v>0</v>
      </c>
      <c r="G4" s="3" t="n">
        <f aca="false">COUNTIFS('Bảng theo dõi'!$B$2:$B$50,$A4)</f>
        <v>10</v>
      </c>
      <c r="H4" s="3" t="n">
        <f aca="false">COUNTIFS('Bảng theo dõi'!$B$2:$B$50,$A4,'Bảng theo dõi'!$H$2:$H$50,"Xong")</f>
        <v>0</v>
      </c>
      <c r="I4" s="4" t="s">
        <v>213</v>
      </c>
      <c r="J4" s="4" t="s">
        <v>214</v>
      </c>
    </row>
    <row r="5" customFormat="false" ht="15" hidden="false" customHeight="false" outlineLevel="0" collapsed="false">
      <c r="A5" s="2" t="s">
        <v>142</v>
      </c>
      <c r="B5" s="3" t="s">
        <v>143</v>
      </c>
      <c r="C5" s="14" t="n">
        <f aca="false">SUMIFS('Bảng theo dõi'!$G$2:$G$50,'Bảng theo dõi'!$B$2:$B$50,$A5)</f>
        <v>20.5</v>
      </c>
      <c r="D5" s="14" t="n">
        <f aca="false">SUMIFS('Bảng theo dõi'!$G$2:$G$50,'Bảng theo dõi'!$B$2:$B$50,$A5,'Bảng theo dõi'!$H$2:$H$50,"Xong")</f>
        <v>0</v>
      </c>
      <c r="E5" s="14" t="n">
        <f aca="false">C5-D5</f>
        <v>20.5</v>
      </c>
      <c r="F5" s="15" t="n">
        <f aca="false">IFERROR(D5/C5,0)</f>
        <v>0</v>
      </c>
      <c r="G5" s="3" t="n">
        <f aca="false">COUNTIFS('Bảng theo dõi'!$B$2:$B$50,$A5)</f>
        <v>10</v>
      </c>
      <c r="H5" s="3" t="n">
        <f aca="false">COUNTIFS('Bảng theo dõi'!$B$2:$B$50,$A5,'Bảng theo dõi'!$H$2:$H$50,"Xong")</f>
        <v>0</v>
      </c>
      <c r="I5" s="4" t="s">
        <v>215</v>
      </c>
      <c r="J5" s="4" t="s">
        <v>216</v>
      </c>
    </row>
    <row r="6" customFormat="false" ht="15" hidden="false" customHeight="false" outlineLevel="0" collapsed="false">
      <c r="A6" s="2" t="s">
        <v>180</v>
      </c>
      <c r="B6" s="3" t="s">
        <v>181</v>
      </c>
      <c r="C6" s="14" t="n">
        <f aca="false">SUMIFS('Bảng theo dõi'!$G$2:$G$50,'Bảng theo dõi'!$B$2:$B$50,$A6)</f>
        <v>2.5</v>
      </c>
      <c r="D6" s="14" t="n">
        <f aca="false">SUMIFS('Bảng theo dõi'!$G$2:$G$50,'Bảng theo dõi'!$B$2:$B$50,$A6,'Bảng theo dõi'!$H$2:$H$50,"Xong")</f>
        <v>0</v>
      </c>
      <c r="E6" s="14" t="n">
        <f aca="false">C6-D6</f>
        <v>2.5</v>
      </c>
      <c r="F6" s="15" t="n">
        <f aca="false">IFERROR(D6/C6,0)</f>
        <v>0</v>
      </c>
      <c r="G6" s="3" t="n">
        <f aca="false">COUNTIFS('Bảng theo dõi'!$B$2:$B$50,$A6)</f>
        <v>4</v>
      </c>
      <c r="H6" s="3" t="n">
        <f aca="false">COUNTIFS('Bảng theo dõi'!$B$2:$B$50,$A6,'Bảng theo dõi'!$H$2:$H$50,"Xong")</f>
        <v>0</v>
      </c>
      <c r="I6" s="4" t="s">
        <v>217</v>
      </c>
      <c r="J6" s="4" t="s">
        <v>218</v>
      </c>
    </row>
    <row r="7" customFormat="false" ht="15" hidden="false" customHeight="false" outlineLevel="0" collapsed="false">
      <c r="A7" s="2" t="s">
        <v>195</v>
      </c>
      <c r="B7" s="3" t="s">
        <v>196</v>
      </c>
      <c r="C7" s="14" t="n">
        <f aca="false">SUMIFS('Bảng theo dõi'!$G$2:$G$50,'Bảng theo dõi'!$B$2:$B$50,$A7)</f>
        <v>6</v>
      </c>
      <c r="D7" s="14" t="n">
        <f aca="false">SUMIFS('Bảng theo dõi'!$G$2:$G$50,'Bảng theo dõi'!$B$2:$B$50,$A7,'Bảng theo dõi'!$H$2:$H$50,"Xong")</f>
        <v>0</v>
      </c>
      <c r="E7" s="14" t="n">
        <f aca="false">C7-D7</f>
        <v>6</v>
      </c>
      <c r="F7" s="15" t="n">
        <f aca="false">IFERROR(D7/C7,0)</f>
        <v>0</v>
      </c>
      <c r="G7" s="3" t="n">
        <f aca="false">COUNTIFS('Bảng theo dõi'!$B$2:$B$50,$A7)</f>
        <v>1</v>
      </c>
      <c r="H7" s="3" t="n">
        <f aca="false">COUNTIFS('Bảng theo dõi'!$B$2:$B$50,$A7,'Bảng theo dõi'!$H$2:$H$50,"Xong")</f>
        <v>0</v>
      </c>
      <c r="I7" s="4" t="s">
        <v>219</v>
      </c>
      <c r="J7" s="4" t="s">
        <v>15</v>
      </c>
    </row>
    <row r="8" customFormat="false" ht="15" hidden="false" customHeight="false" outlineLevel="0" collapsed="false">
      <c r="A8" s="16" t="s">
        <v>220</v>
      </c>
      <c r="B8" s="8"/>
      <c r="C8" s="16" t="n">
        <f aca="false">SUM(C2:C7)</f>
        <v>97.5</v>
      </c>
      <c r="D8" s="16" t="n">
        <f aca="false">SUM(D2:D7)</f>
        <v>0</v>
      </c>
      <c r="E8" s="16" t="n">
        <f aca="false">SUM(E2:E7)</f>
        <v>97.5</v>
      </c>
      <c r="F8" s="17" t="n">
        <f aca="false">IFERROR(D8/C8,0)</f>
        <v>0</v>
      </c>
      <c r="G8" s="16" t="n">
        <f aca="false">SUM(G2:G7)</f>
        <v>49</v>
      </c>
      <c r="H8" s="16" t="n">
        <f aca="false">SUM(H2:H7)</f>
        <v>0</v>
      </c>
      <c r="I8" s="8"/>
      <c r="J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62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3" t="s">
        <v>221</v>
      </c>
      <c r="B1" s="13" t="s">
        <v>2</v>
      </c>
      <c r="C1" s="13" t="s">
        <v>222</v>
      </c>
      <c r="D1" s="13" t="s">
        <v>223</v>
      </c>
      <c r="E1" s="13" t="s">
        <v>224</v>
      </c>
    </row>
    <row r="2" customFormat="false" ht="23.85" hidden="false" customHeight="false" outlineLevel="0" collapsed="false">
      <c r="A2" s="18" t="s">
        <v>225</v>
      </c>
      <c r="B2" s="4" t="s">
        <v>210</v>
      </c>
      <c r="C2" s="4" t="s">
        <v>13</v>
      </c>
      <c r="D2" s="4" t="s">
        <v>226</v>
      </c>
      <c r="E2" s="4" t="s">
        <v>227</v>
      </c>
    </row>
    <row r="3" customFormat="false" ht="23.85" hidden="false" customHeight="false" outlineLevel="0" collapsed="false">
      <c r="A3" s="18" t="s">
        <v>228</v>
      </c>
      <c r="B3" s="4" t="s">
        <v>212</v>
      </c>
      <c r="C3" s="4" t="s">
        <v>13</v>
      </c>
      <c r="D3" s="4" t="s">
        <v>229</v>
      </c>
      <c r="E3" s="4" t="s">
        <v>230</v>
      </c>
    </row>
    <row r="4" customFormat="false" ht="23.85" hidden="false" customHeight="false" outlineLevel="0" collapsed="false">
      <c r="A4" s="18" t="s">
        <v>231</v>
      </c>
      <c r="B4" s="4" t="s">
        <v>214</v>
      </c>
      <c r="C4" s="4" t="s">
        <v>13</v>
      </c>
      <c r="D4" s="4" t="s">
        <v>232</v>
      </c>
      <c r="E4" s="4" t="s">
        <v>233</v>
      </c>
    </row>
    <row r="5" customFormat="false" ht="23.85" hidden="false" customHeight="false" outlineLevel="0" collapsed="false">
      <c r="A5" s="18" t="s">
        <v>234</v>
      </c>
      <c r="B5" s="4" t="s">
        <v>216</v>
      </c>
      <c r="C5" s="4" t="s">
        <v>13</v>
      </c>
      <c r="D5" s="4" t="s">
        <v>235</v>
      </c>
      <c r="E5" s="4" t="s">
        <v>236</v>
      </c>
    </row>
    <row r="6" customFormat="false" ht="15" hidden="false" customHeight="false" outlineLevel="0" collapsed="false">
      <c r="A6" s="18" t="s">
        <v>237</v>
      </c>
      <c r="B6" s="4" t="s">
        <v>181</v>
      </c>
      <c r="C6" s="4" t="s">
        <v>13</v>
      </c>
      <c r="D6" s="4" t="s">
        <v>238</v>
      </c>
      <c r="E6" s="4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58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13" t="s">
        <v>240</v>
      </c>
      <c r="B1" s="13" t="s">
        <v>241</v>
      </c>
      <c r="C1" s="13" t="s">
        <v>242</v>
      </c>
      <c r="D1" s="13" t="s">
        <v>243</v>
      </c>
    </row>
    <row r="2" customFormat="false" ht="23.85" hidden="false" customHeight="false" outlineLevel="0" collapsed="false">
      <c r="A2" s="18" t="s">
        <v>244</v>
      </c>
      <c r="B2" s="4" t="s">
        <v>245</v>
      </c>
      <c r="C2" s="4" t="s">
        <v>246</v>
      </c>
      <c r="D2" s="4" t="s">
        <v>247</v>
      </c>
    </row>
    <row r="3" customFormat="false" ht="15" hidden="false" customHeight="false" outlineLevel="0" collapsed="false">
      <c r="A3" s="18" t="s">
        <v>244</v>
      </c>
      <c r="B3" s="4" t="s">
        <v>248</v>
      </c>
      <c r="C3" s="4" t="s">
        <v>249</v>
      </c>
      <c r="D3" s="4" t="s">
        <v>250</v>
      </c>
    </row>
    <row r="4" customFormat="false" ht="15" hidden="false" customHeight="false" outlineLevel="0" collapsed="false">
      <c r="A4" s="18" t="s">
        <v>244</v>
      </c>
      <c r="B4" s="4" t="s">
        <v>251</v>
      </c>
      <c r="C4" s="4" t="s">
        <v>252</v>
      </c>
      <c r="D4" s="4" t="s">
        <v>253</v>
      </c>
    </row>
    <row r="5" customFormat="false" ht="15" hidden="false" customHeight="false" outlineLevel="0" collapsed="false">
      <c r="A5" s="18" t="s">
        <v>254</v>
      </c>
      <c r="B5" s="4" t="s">
        <v>255</v>
      </c>
      <c r="C5" s="4" t="s">
        <v>256</v>
      </c>
      <c r="D5" s="4" t="s">
        <v>257</v>
      </c>
    </row>
    <row r="6" customFormat="false" ht="15" hidden="false" customHeight="false" outlineLevel="0" collapsed="false">
      <c r="A6" s="18" t="s">
        <v>258</v>
      </c>
      <c r="B6" s="4" t="s">
        <v>255</v>
      </c>
      <c r="C6" s="4" t="s">
        <v>259</v>
      </c>
      <c r="D6" s="4" t="s">
        <v>260</v>
      </c>
    </row>
    <row r="7" customFormat="false" ht="15" hidden="false" customHeight="false" outlineLevel="0" collapsed="false">
      <c r="A7" s="18" t="s">
        <v>261</v>
      </c>
      <c r="B7" s="4" t="s">
        <v>255</v>
      </c>
      <c r="C7" s="4" t="s">
        <v>262</v>
      </c>
      <c r="D7" s="4" t="s">
        <v>263</v>
      </c>
    </row>
    <row r="8" customFormat="false" ht="15" hidden="false" customHeight="false" outlineLevel="0" collapsed="false">
      <c r="A8" s="18" t="s">
        <v>264</v>
      </c>
      <c r="B8" s="4" t="s">
        <v>255</v>
      </c>
      <c r="C8" s="4" t="s">
        <v>265</v>
      </c>
      <c r="D8" s="4" t="s">
        <v>266</v>
      </c>
    </row>
    <row r="9" customFormat="false" ht="15" hidden="false" customHeight="false" outlineLevel="0" collapsed="false">
      <c r="A9" s="18" t="s">
        <v>267</v>
      </c>
      <c r="B9" s="4" t="s">
        <v>255</v>
      </c>
      <c r="C9" s="4" t="s">
        <v>268</v>
      </c>
      <c r="D9" s="4" t="s">
        <v>269</v>
      </c>
    </row>
    <row r="10" customFormat="false" ht="15" hidden="false" customHeight="false" outlineLevel="0" collapsed="false">
      <c r="A10" s="18" t="s">
        <v>270</v>
      </c>
      <c r="B10" s="4" t="s">
        <v>271</v>
      </c>
      <c r="C10" s="4" t="s">
        <v>272</v>
      </c>
      <c r="D10" s="4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9" t="s">
        <v>274</v>
      </c>
    </row>
    <row r="3" customFormat="false" ht="15" hidden="false" customHeight="false" outlineLevel="0" collapsed="false">
      <c r="A3" s="20" t="s">
        <v>275</v>
      </c>
    </row>
    <row r="4" customFormat="false" ht="15" hidden="false" customHeight="false" outlineLevel="0" collapsed="false">
      <c r="A4" s="20" t="s">
        <v>276</v>
      </c>
    </row>
    <row r="5" customFormat="false" ht="15" hidden="false" customHeight="false" outlineLevel="0" collapsed="false">
      <c r="A5" s="20" t="s">
        <v>277</v>
      </c>
    </row>
    <row r="6" customFormat="false" ht="15" hidden="false" customHeight="false" outlineLevel="0" collapsed="false">
      <c r="A6" s="20" t="s">
        <v>278</v>
      </c>
    </row>
    <row r="7" customFormat="false" ht="15" hidden="false" customHeight="false" outlineLevel="0" collapsed="false">
      <c r="A7" s="20" t="s">
        <v>279</v>
      </c>
    </row>
    <row r="8" customFormat="false" ht="15" hidden="false" customHeight="false" outlineLevel="0" collapsed="false">
      <c r="A8" s="20" t="s">
        <v>280</v>
      </c>
    </row>
    <row r="9" customFormat="false" ht="15" hidden="false" customHeight="false" outlineLevel="0" collapsed="false">
      <c r="A9" s="20"/>
    </row>
    <row r="10" customFormat="false" ht="15" hidden="false" customHeight="false" outlineLevel="0" collapsed="false">
      <c r="A10" s="20" t="s">
        <v>281</v>
      </c>
    </row>
    <row r="11" customFormat="false" ht="15" hidden="false" customHeight="false" outlineLevel="0" collapsed="false">
      <c r="A11" s="20" t="s">
        <v>282</v>
      </c>
    </row>
    <row r="12" customFormat="false" ht="15" hidden="false" customHeight="false" outlineLevel="0" collapsed="false">
      <c r="A12" s="20" t="s">
        <v>283</v>
      </c>
    </row>
    <row r="13" customFormat="false" ht="15" hidden="false" customHeight="false" outlineLevel="0" collapsed="false">
      <c r="A13" s="20" t="s">
        <v>284</v>
      </c>
    </row>
    <row r="14" customFormat="false" ht="15" hidden="false" customHeight="false" outlineLevel="0" collapsed="false">
      <c r="A14" s="20" t="s">
        <v>285</v>
      </c>
    </row>
    <row r="15" customFormat="false" ht="15" hidden="false" customHeight="false" outlineLevel="0" collapsed="false">
      <c r="A15" s="20" t="s">
        <v>286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287</v>
      </c>
    </row>
    <row r="18" customFormat="false" ht="15" hidden="false" customHeight="false" outlineLevel="0" collapsed="false">
      <c r="A18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2026-09-18T04:09:47Z</dcterms:created>
  <dc:creator>openpyxl</dc:creator>
  <dc:description/>
  <dc:language>en-US</dc:language>
  <cp:lastModifiedBy/>
  <dcterms:modified xsi:type="dcterms:W3CDTF">2026-09-18T04:09:47Z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